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Telegram Desktop\ref-tools-pro\ref-tools-pro\"/>
    </mc:Choice>
  </mc:AlternateContent>
  <xr:revisionPtr revIDLastSave="0" documentId="13_ncr:1_{78AEF249-C8A6-4D14-A344-BCBF83B49305}" xr6:coauthVersionLast="47" xr6:coauthVersionMax="47" xr10:uidLastSave="{00000000-0000-0000-0000-000000000000}"/>
  <bookViews>
    <workbookView xWindow="-108" yWindow="-108" windowWidth="23256" windowHeight="12456" xr2:uid="{5B6A370F-3C93-4ECD-98CD-739AE488C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" i="1" l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</calcChain>
</file>

<file path=xl/sharedStrings.xml><?xml version="1.0" encoding="utf-8"?>
<sst xmlns="http://schemas.openxmlformats.org/spreadsheetml/2006/main" count="13" uniqueCount="13">
  <si>
    <t>Altitude (ft)</t>
  </si>
  <si>
    <t>Altitude (m)</t>
  </si>
  <si>
    <t>mm Hg</t>
  </si>
  <si>
    <t>kPa</t>
  </si>
  <si>
    <t xml:space="preserve">    </t>
  </si>
  <si>
    <t>bar</t>
  </si>
  <si>
    <t>at</t>
  </si>
  <si>
    <t>atm</t>
  </si>
  <si>
    <t>In Hg</t>
  </si>
  <si>
    <t>psi</t>
  </si>
  <si>
    <t>pa</t>
  </si>
  <si>
    <t>mpa</t>
  </si>
  <si>
    <t>µm 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</si>
</sst>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BD694-80E7-4149-8843-6ECD2904C1B2}">
  <dimension ref="A2:M38"/>
  <sheetViews>
    <sheetView tabSelected="1" workbookViewId="0">
      <selection activeCell="F8" sqref="F8"/>
    </sheetView>
  </sheetViews>
  <sheetFormatPr defaultRowHeight="18" x14ac:dyDescent="0.35"/>
  <cols>
    <col min="1" max="1" width="8.88671875" style="3"/>
    <col min="2" max="2" width="19.5546875" style="3" bestFit="1" customWidth="1"/>
    <col min="3" max="3" width="19.88671875" style="3" bestFit="1" customWidth="1"/>
    <col min="4" max="4" width="16.6640625" style="3" bestFit="1" customWidth="1"/>
    <col min="5" max="5" width="13.6640625" style="3" bestFit="1" customWidth="1"/>
    <col min="6" max="6" width="10.44140625" style="3" bestFit="1" customWidth="1"/>
    <col min="7" max="7" width="13.6640625" style="3" bestFit="1" customWidth="1"/>
    <col min="8" max="9" width="9.88671875" style="3" bestFit="1" customWidth="1"/>
    <col min="10" max="10" width="9" style="3" bestFit="1" customWidth="1"/>
    <col min="11" max="11" width="11.6640625" style="3" bestFit="1" customWidth="1"/>
    <col min="12" max="12" width="9" style="3" bestFit="1" customWidth="1"/>
    <col min="13" max="13" width="13.109375" style="3" bestFit="1" customWidth="1"/>
    <col min="14" max="16384" width="8.88671875" style="3"/>
  </cols>
  <sheetData>
    <row r="2" spans="1:13" x14ac:dyDescent="0.35">
      <c r="B2" s="1" t="s">
        <v>0</v>
      </c>
      <c r="C2" s="1" t="s">
        <v>1</v>
      </c>
      <c r="D2" s="1" t="s">
        <v>8</v>
      </c>
      <c r="E2" s="1" t="s">
        <v>2</v>
      </c>
      <c r="F2" s="1" t="s">
        <v>9</v>
      </c>
      <c r="G2" s="1" t="s">
        <v>6</v>
      </c>
      <c r="H2" s="1" t="s">
        <v>3</v>
      </c>
      <c r="I2" s="1" t="s">
        <v>5</v>
      </c>
      <c r="J2" s="1" t="s">
        <v>10</v>
      </c>
      <c r="K2" s="1" t="s">
        <v>11</v>
      </c>
      <c r="L2" s="1" t="s">
        <v>7</v>
      </c>
      <c r="M2" s="1" t="s">
        <v>12</v>
      </c>
    </row>
    <row r="3" spans="1:13" x14ac:dyDescent="0.35">
      <c r="A3" s="3" t="s">
        <v>4</v>
      </c>
    </row>
    <row r="9" spans="1:13" x14ac:dyDescent="0.35">
      <c r="B9" s="2">
        <v>0</v>
      </c>
      <c r="C9" s="2">
        <v>0</v>
      </c>
      <c r="D9" s="2">
        <v>29.92</v>
      </c>
      <c r="E9" s="2">
        <v>760</v>
      </c>
      <c r="F9" s="2">
        <v>14.696</v>
      </c>
      <c r="G9" s="2">
        <v>1.0333000000000001</v>
      </c>
      <c r="H9" s="2">
        <v>101.33</v>
      </c>
      <c r="I9" s="4">
        <f t="shared" ref="I9:I38" si="0">F9*0.06894757</f>
        <v>1.01325348872</v>
      </c>
      <c r="J9" s="4">
        <f t="shared" ref="J9:J38" si="1">F9*6894.757</f>
        <v>101325.34887199999</v>
      </c>
      <c r="K9" s="4">
        <f t="shared" ref="K9:K38" si="2">F9*0.006894757</f>
        <v>0.101325348872</v>
      </c>
      <c r="L9" s="4">
        <f t="shared" ref="L9:L38" si="3">F9/14.6959</f>
        <v>1.0000068046189754</v>
      </c>
      <c r="M9" s="4">
        <f t="shared" ref="M9:M38" si="4">F9*51714.93</f>
        <v>760002.61127999995</v>
      </c>
    </row>
    <row r="10" spans="1:13" x14ac:dyDescent="0.35">
      <c r="B10" s="2">
        <v>500</v>
      </c>
      <c r="C10" s="2">
        <v>153</v>
      </c>
      <c r="D10" s="2">
        <v>29.38</v>
      </c>
      <c r="E10" s="2">
        <v>746.3</v>
      </c>
      <c r="F10" s="2">
        <v>14.43</v>
      </c>
      <c r="G10" s="2">
        <v>1.0149999999999999</v>
      </c>
      <c r="H10" s="2">
        <v>99.49</v>
      </c>
      <c r="I10" s="4">
        <f t="shared" si="0"/>
        <v>0.99491343509999997</v>
      </c>
      <c r="J10" s="4">
        <f t="shared" si="1"/>
        <v>99491.343509999992</v>
      </c>
      <c r="K10" s="4">
        <f t="shared" si="2"/>
        <v>9.9491343509999997E-2</v>
      </c>
      <c r="L10" s="4">
        <f t="shared" si="3"/>
        <v>0.98190651814451646</v>
      </c>
      <c r="M10" s="4">
        <f t="shared" si="4"/>
        <v>746246.4399</v>
      </c>
    </row>
    <row r="11" spans="1:13" x14ac:dyDescent="0.35">
      <c r="B11" s="2">
        <v>1000</v>
      </c>
      <c r="C11" s="2">
        <v>305</v>
      </c>
      <c r="D11" s="2">
        <v>28.86</v>
      </c>
      <c r="E11" s="2">
        <v>733</v>
      </c>
      <c r="F11" s="2">
        <v>14.16</v>
      </c>
      <c r="G11" s="2">
        <v>0.996</v>
      </c>
      <c r="H11" s="2">
        <v>97.63</v>
      </c>
      <c r="I11" s="4">
        <f t="shared" si="0"/>
        <v>0.97629759120000004</v>
      </c>
      <c r="J11" s="4">
        <f t="shared" si="1"/>
        <v>97629.759120000002</v>
      </c>
      <c r="K11" s="4">
        <f t="shared" si="2"/>
        <v>9.7629759119999993E-2</v>
      </c>
      <c r="L11" s="4">
        <f t="shared" si="3"/>
        <v>0.96353404691104327</v>
      </c>
      <c r="M11" s="4">
        <f t="shared" si="4"/>
        <v>732283.40879999998</v>
      </c>
    </row>
    <row r="12" spans="1:13" x14ac:dyDescent="0.35">
      <c r="B12" s="2">
        <v>1500</v>
      </c>
      <c r="C12" s="2">
        <v>458</v>
      </c>
      <c r="D12" s="2">
        <v>28.33</v>
      </c>
      <c r="E12" s="2">
        <v>719.6</v>
      </c>
      <c r="F12" s="2">
        <v>13.91</v>
      </c>
      <c r="G12" s="2">
        <v>0.97799999999999998</v>
      </c>
      <c r="H12" s="2">
        <v>95.91</v>
      </c>
      <c r="I12" s="4">
        <f t="shared" si="0"/>
        <v>0.95906069869999999</v>
      </c>
      <c r="J12" s="4">
        <f t="shared" si="1"/>
        <v>95906.069869999992</v>
      </c>
      <c r="K12" s="4">
        <f t="shared" si="2"/>
        <v>9.5906069869999999E-2</v>
      </c>
      <c r="L12" s="4">
        <f t="shared" si="3"/>
        <v>0.946522499472642</v>
      </c>
      <c r="M12" s="4">
        <f t="shared" si="4"/>
        <v>719354.67630000005</v>
      </c>
    </row>
    <row r="13" spans="1:13" x14ac:dyDescent="0.35">
      <c r="B13" s="2">
        <v>2000</v>
      </c>
      <c r="C13" s="2">
        <v>610</v>
      </c>
      <c r="D13" s="2">
        <v>27.82</v>
      </c>
      <c r="E13" s="2">
        <v>706.6</v>
      </c>
      <c r="F13" s="2">
        <v>13.66</v>
      </c>
      <c r="G13" s="2">
        <v>0.96</v>
      </c>
      <c r="H13" s="2">
        <v>94.19</v>
      </c>
      <c r="I13" s="4">
        <f t="shared" si="0"/>
        <v>0.94182380620000006</v>
      </c>
      <c r="J13" s="4">
        <f t="shared" si="1"/>
        <v>94182.380619999996</v>
      </c>
      <c r="K13" s="4">
        <f t="shared" si="2"/>
        <v>9.4182380619999992E-2</v>
      </c>
      <c r="L13" s="4">
        <f t="shared" si="3"/>
        <v>0.92951095203424083</v>
      </c>
      <c r="M13" s="4">
        <f t="shared" si="4"/>
        <v>706425.94380000001</v>
      </c>
    </row>
    <row r="14" spans="1:13" x14ac:dyDescent="0.35">
      <c r="B14" s="2">
        <v>2500</v>
      </c>
      <c r="C14" s="2">
        <v>763</v>
      </c>
      <c r="D14" s="2">
        <v>27.32</v>
      </c>
      <c r="E14" s="2">
        <v>693.9</v>
      </c>
      <c r="F14" s="2">
        <v>13.41</v>
      </c>
      <c r="G14" s="2">
        <v>0.94299999999999995</v>
      </c>
      <c r="H14" s="2">
        <v>92.46</v>
      </c>
      <c r="I14" s="4">
        <f t="shared" si="0"/>
        <v>0.92458691370000001</v>
      </c>
      <c r="J14" s="4">
        <f t="shared" si="1"/>
        <v>92458.69137</v>
      </c>
      <c r="K14" s="4">
        <f t="shared" si="2"/>
        <v>9.2458691369999998E-2</v>
      </c>
      <c r="L14" s="4">
        <f t="shared" si="3"/>
        <v>0.91249940459583967</v>
      </c>
      <c r="M14" s="4">
        <f t="shared" si="4"/>
        <v>693497.21129999997</v>
      </c>
    </row>
    <row r="15" spans="1:13" x14ac:dyDescent="0.35">
      <c r="B15" s="2">
        <v>3000</v>
      </c>
      <c r="C15" s="2">
        <v>915</v>
      </c>
      <c r="D15" s="2">
        <v>26.82</v>
      </c>
      <c r="E15" s="2">
        <v>681.2</v>
      </c>
      <c r="F15" s="2">
        <v>13.17</v>
      </c>
      <c r="G15" s="2">
        <v>0.92600000000000005</v>
      </c>
      <c r="H15" s="2">
        <v>90.81</v>
      </c>
      <c r="I15" s="4">
        <f t="shared" si="0"/>
        <v>0.90803949689999996</v>
      </c>
      <c r="J15" s="4">
        <f t="shared" si="1"/>
        <v>90803.949689999994</v>
      </c>
      <c r="K15" s="4">
        <f t="shared" si="2"/>
        <v>9.0803949689999996E-2</v>
      </c>
      <c r="L15" s="4">
        <f t="shared" si="3"/>
        <v>0.89616831905497452</v>
      </c>
      <c r="M15" s="4">
        <f t="shared" si="4"/>
        <v>681085.62809999997</v>
      </c>
    </row>
    <row r="16" spans="1:13" x14ac:dyDescent="0.35">
      <c r="B16" s="2">
        <v>3500</v>
      </c>
      <c r="C16" s="2">
        <v>1068</v>
      </c>
      <c r="D16" s="2">
        <v>26.33</v>
      </c>
      <c r="E16" s="2">
        <v>668.8</v>
      </c>
      <c r="F16" s="2">
        <v>12.93</v>
      </c>
      <c r="G16" s="2">
        <v>0.90900000000000003</v>
      </c>
      <c r="H16" s="2">
        <v>89.15</v>
      </c>
      <c r="I16" s="4">
        <f t="shared" si="0"/>
        <v>0.89149208010000003</v>
      </c>
      <c r="J16" s="4">
        <f t="shared" si="1"/>
        <v>89149.208009999988</v>
      </c>
      <c r="K16" s="4">
        <f t="shared" si="2"/>
        <v>8.9149208009999995E-2</v>
      </c>
      <c r="L16" s="4">
        <f t="shared" si="3"/>
        <v>0.87983723351410936</v>
      </c>
      <c r="M16" s="4">
        <f t="shared" si="4"/>
        <v>668674.04489999998</v>
      </c>
    </row>
    <row r="17" spans="2:13" x14ac:dyDescent="0.35">
      <c r="B17" s="2">
        <v>4000</v>
      </c>
      <c r="C17" s="2">
        <v>1220</v>
      </c>
      <c r="D17" s="2">
        <v>25.84</v>
      </c>
      <c r="E17" s="2">
        <v>656.3</v>
      </c>
      <c r="F17" s="2">
        <v>12.69</v>
      </c>
      <c r="G17" s="2">
        <v>0.89200000000000002</v>
      </c>
      <c r="H17" s="2">
        <v>87.49</v>
      </c>
      <c r="I17" s="4">
        <f t="shared" si="0"/>
        <v>0.87494466329999998</v>
      </c>
      <c r="J17" s="4">
        <f t="shared" si="1"/>
        <v>87494.466329999996</v>
      </c>
      <c r="K17" s="4">
        <f t="shared" si="2"/>
        <v>8.7494466329999993E-2</v>
      </c>
      <c r="L17" s="4">
        <f t="shared" si="3"/>
        <v>0.86350614797324421</v>
      </c>
      <c r="M17" s="4">
        <f t="shared" si="4"/>
        <v>656262.46169999999</v>
      </c>
    </row>
    <row r="18" spans="2:13" x14ac:dyDescent="0.35">
      <c r="B18" s="2">
        <v>4500</v>
      </c>
      <c r="C18" s="2">
        <v>1373</v>
      </c>
      <c r="D18" s="2">
        <v>25.37</v>
      </c>
      <c r="E18" s="2">
        <v>644.4</v>
      </c>
      <c r="F18" s="2">
        <v>12.46</v>
      </c>
      <c r="G18" s="2">
        <v>0.876</v>
      </c>
      <c r="H18" s="2">
        <v>85.91</v>
      </c>
      <c r="I18" s="4">
        <f t="shared" si="0"/>
        <v>0.85908672220000004</v>
      </c>
      <c r="J18" s="4">
        <f t="shared" si="1"/>
        <v>85908.672220000008</v>
      </c>
      <c r="K18" s="4">
        <f t="shared" si="2"/>
        <v>8.5908672219999996E-2</v>
      </c>
      <c r="L18" s="4">
        <f t="shared" si="3"/>
        <v>0.84785552432991518</v>
      </c>
      <c r="M18" s="4">
        <f t="shared" si="4"/>
        <v>644368.02780000004</v>
      </c>
    </row>
    <row r="19" spans="2:13" x14ac:dyDescent="0.35">
      <c r="B19" s="2">
        <v>5000</v>
      </c>
      <c r="C19" s="2">
        <v>1526</v>
      </c>
      <c r="D19" s="2">
        <v>24.9</v>
      </c>
      <c r="E19" s="2">
        <v>632.5</v>
      </c>
      <c r="F19" s="2">
        <v>12.23</v>
      </c>
      <c r="G19" s="2">
        <v>0.86</v>
      </c>
      <c r="H19" s="2">
        <v>84.33</v>
      </c>
      <c r="I19" s="4">
        <f t="shared" si="0"/>
        <v>0.84322878109999999</v>
      </c>
      <c r="J19" s="4">
        <f t="shared" si="1"/>
        <v>84322.878110000005</v>
      </c>
      <c r="K19" s="4">
        <f t="shared" si="2"/>
        <v>8.4322878109999999E-2</v>
      </c>
      <c r="L19" s="4">
        <f t="shared" si="3"/>
        <v>0.83220490068658604</v>
      </c>
      <c r="M19" s="4">
        <f t="shared" si="4"/>
        <v>632473.59389999998</v>
      </c>
    </row>
    <row r="20" spans="2:13" x14ac:dyDescent="0.35">
      <c r="B20" s="2">
        <v>6000</v>
      </c>
      <c r="C20" s="2">
        <v>1831</v>
      </c>
      <c r="D20" s="2">
        <v>23.99</v>
      </c>
      <c r="E20" s="2">
        <v>609.29999999999995</v>
      </c>
      <c r="F20" s="2">
        <v>11.78</v>
      </c>
      <c r="G20" s="2">
        <v>0.82799999999999996</v>
      </c>
      <c r="H20" s="2">
        <v>81.22</v>
      </c>
      <c r="I20" s="4">
        <f t="shared" si="0"/>
        <v>0.8122023746</v>
      </c>
      <c r="J20" s="4">
        <f t="shared" si="1"/>
        <v>81220.237459999989</v>
      </c>
      <c r="K20" s="4">
        <f t="shared" si="2"/>
        <v>8.1220237459999997E-2</v>
      </c>
      <c r="L20" s="4">
        <f t="shared" si="3"/>
        <v>0.80158411529746387</v>
      </c>
      <c r="M20" s="4">
        <f t="shared" si="4"/>
        <v>609201.87540000002</v>
      </c>
    </row>
    <row r="21" spans="2:13" x14ac:dyDescent="0.35">
      <c r="B21" s="2">
        <v>7000</v>
      </c>
      <c r="C21" s="2">
        <v>2136</v>
      </c>
      <c r="D21" s="2">
        <v>23.1</v>
      </c>
      <c r="E21" s="2">
        <v>586.70000000000005</v>
      </c>
      <c r="F21" s="2">
        <v>11.34</v>
      </c>
      <c r="G21" s="2">
        <v>0.79700000000000004</v>
      </c>
      <c r="H21" s="2">
        <v>78.19</v>
      </c>
      <c r="I21" s="4">
        <f t="shared" si="0"/>
        <v>0.7818654438</v>
      </c>
      <c r="J21" s="4">
        <f t="shared" si="1"/>
        <v>78186.544379999992</v>
      </c>
      <c r="K21" s="4">
        <f t="shared" si="2"/>
        <v>7.818654438E-2</v>
      </c>
      <c r="L21" s="4">
        <f t="shared" si="3"/>
        <v>0.77164379180587783</v>
      </c>
      <c r="M21" s="4">
        <f t="shared" si="4"/>
        <v>586447.30619999999</v>
      </c>
    </row>
    <row r="22" spans="2:13" x14ac:dyDescent="0.35">
      <c r="B22" s="2">
        <v>8000</v>
      </c>
      <c r="C22" s="2">
        <v>2441</v>
      </c>
      <c r="D22" s="2">
        <v>22.23</v>
      </c>
      <c r="E22" s="2">
        <v>564.6</v>
      </c>
      <c r="F22" s="2">
        <v>10.91</v>
      </c>
      <c r="G22" s="2">
        <v>0.76700000000000002</v>
      </c>
      <c r="H22" s="2">
        <v>75.22</v>
      </c>
      <c r="I22" s="4">
        <f t="shared" si="0"/>
        <v>0.75221798870000001</v>
      </c>
      <c r="J22" s="4">
        <f t="shared" si="1"/>
        <v>75221.798869999999</v>
      </c>
      <c r="K22" s="4">
        <f t="shared" si="2"/>
        <v>7.5221798869999995E-2</v>
      </c>
      <c r="L22" s="4">
        <f t="shared" si="3"/>
        <v>0.7423839302118278</v>
      </c>
      <c r="M22" s="4">
        <f t="shared" si="4"/>
        <v>564209.88630000001</v>
      </c>
    </row>
    <row r="23" spans="2:13" x14ac:dyDescent="0.35">
      <c r="B23" s="2">
        <v>9000</v>
      </c>
      <c r="C23" s="2">
        <v>2746</v>
      </c>
      <c r="D23" s="2">
        <v>21.39</v>
      </c>
      <c r="E23" s="2">
        <v>543.29999999999995</v>
      </c>
      <c r="F23" s="2">
        <v>10.5</v>
      </c>
      <c r="G23" s="2">
        <v>0.73799999999999999</v>
      </c>
      <c r="H23" s="2">
        <v>72.400000000000006</v>
      </c>
      <c r="I23" s="4">
        <f t="shared" si="0"/>
        <v>0.723949485</v>
      </c>
      <c r="J23" s="4">
        <f t="shared" si="1"/>
        <v>72394.948499999999</v>
      </c>
      <c r="K23" s="4">
        <f t="shared" si="2"/>
        <v>7.23949485E-2</v>
      </c>
      <c r="L23" s="4">
        <f t="shared" si="3"/>
        <v>0.7144849924128498</v>
      </c>
      <c r="M23" s="4">
        <f t="shared" si="4"/>
        <v>543006.76500000001</v>
      </c>
    </row>
    <row r="24" spans="2:13" x14ac:dyDescent="0.35">
      <c r="B24" s="2">
        <v>10000</v>
      </c>
      <c r="C24" s="2">
        <v>3050</v>
      </c>
      <c r="D24" s="2">
        <v>20.58</v>
      </c>
      <c r="E24" s="2">
        <v>522.70000000000005</v>
      </c>
      <c r="F24" s="2">
        <v>10.1</v>
      </c>
      <c r="G24" s="2">
        <v>0.71</v>
      </c>
      <c r="H24" s="2">
        <v>69.64</v>
      </c>
      <c r="I24" s="4">
        <f t="shared" si="0"/>
        <v>0.696370457</v>
      </c>
      <c r="J24" s="4">
        <f t="shared" si="1"/>
        <v>69637.045699999988</v>
      </c>
      <c r="K24" s="4">
        <f t="shared" si="2"/>
        <v>6.9637045699999997E-2</v>
      </c>
      <c r="L24" s="4">
        <f t="shared" si="3"/>
        <v>0.68726651651140791</v>
      </c>
      <c r="M24" s="4">
        <f t="shared" si="4"/>
        <v>522320.79300000001</v>
      </c>
    </row>
    <row r="25" spans="2:13" x14ac:dyDescent="0.35">
      <c r="B25" s="2">
        <v>15000</v>
      </c>
      <c r="C25" s="2">
        <v>4577</v>
      </c>
      <c r="D25" s="2">
        <v>16.89</v>
      </c>
      <c r="E25" s="2">
        <v>429</v>
      </c>
      <c r="F25" s="2">
        <v>8.2899999999999991</v>
      </c>
      <c r="G25" s="2">
        <v>0.58299999999999996</v>
      </c>
      <c r="H25" s="2">
        <v>57.16</v>
      </c>
      <c r="I25" s="4">
        <f t="shared" si="0"/>
        <v>0.57157535529999992</v>
      </c>
      <c r="J25" s="4">
        <f t="shared" si="1"/>
        <v>57157.535529999994</v>
      </c>
      <c r="K25" s="4">
        <f t="shared" si="2"/>
        <v>5.7157535529999991E-2</v>
      </c>
      <c r="L25" s="4">
        <f t="shared" si="3"/>
        <v>0.56410291305738325</v>
      </c>
      <c r="M25" s="4">
        <f t="shared" si="4"/>
        <v>428716.76969999995</v>
      </c>
    </row>
    <row r="26" spans="2:13" x14ac:dyDescent="0.35">
      <c r="B26" s="2">
        <v>20000</v>
      </c>
      <c r="C26" s="2">
        <v>6102</v>
      </c>
      <c r="D26" s="2">
        <v>13.76</v>
      </c>
      <c r="E26" s="2">
        <v>349.5</v>
      </c>
      <c r="F26" s="2">
        <v>6.76</v>
      </c>
      <c r="G26" s="2">
        <v>0.47499999999999998</v>
      </c>
      <c r="H26" s="2">
        <v>46.61</v>
      </c>
      <c r="I26" s="4">
        <f t="shared" si="0"/>
        <v>0.46608557319999999</v>
      </c>
      <c r="J26" s="4">
        <f t="shared" si="1"/>
        <v>46608.557319999993</v>
      </c>
      <c r="K26" s="4">
        <f t="shared" si="2"/>
        <v>4.6608557319999994E-2</v>
      </c>
      <c r="L26" s="4">
        <f t="shared" si="3"/>
        <v>0.45999224273436806</v>
      </c>
      <c r="M26" s="4">
        <f t="shared" si="4"/>
        <v>349592.92680000002</v>
      </c>
    </row>
    <row r="27" spans="2:13" x14ac:dyDescent="0.35">
      <c r="B27" s="2">
        <v>25000</v>
      </c>
      <c r="C27" s="2">
        <v>7628</v>
      </c>
      <c r="D27" s="2">
        <v>11.12</v>
      </c>
      <c r="E27" s="2">
        <v>282.39999999999998</v>
      </c>
      <c r="F27" s="2">
        <v>5.46</v>
      </c>
      <c r="G27" s="2">
        <v>0.38400000000000001</v>
      </c>
      <c r="H27" s="2">
        <v>37.65</v>
      </c>
      <c r="I27" s="4">
        <f t="shared" si="0"/>
        <v>0.3764537322</v>
      </c>
      <c r="J27" s="4">
        <f t="shared" si="1"/>
        <v>37645.373219999994</v>
      </c>
      <c r="K27" s="4">
        <f t="shared" si="2"/>
        <v>3.764537322E-2</v>
      </c>
      <c r="L27" s="4">
        <f t="shared" si="3"/>
        <v>0.37153219605468191</v>
      </c>
      <c r="M27" s="4">
        <f t="shared" si="4"/>
        <v>282363.51779999997</v>
      </c>
    </row>
    <row r="28" spans="2:13" x14ac:dyDescent="0.35">
      <c r="B28" s="2">
        <v>30000</v>
      </c>
      <c r="C28" s="2">
        <v>9153</v>
      </c>
      <c r="D28" s="2">
        <v>8.9030000000000005</v>
      </c>
      <c r="E28" s="2">
        <v>226.1</v>
      </c>
      <c r="F28" s="2">
        <v>4.37</v>
      </c>
      <c r="G28" s="2">
        <v>0.307</v>
      </c>
      <c r="H28" s="2">
        <v>30.13</v>
      </c>
      <c r="I28" s="4">
        <f t="shared" si="0"/>
        <v>0.30130088090000001</v>
      </c>
      <c r="J28" s="4">
        <f t="shared" si="1"/>
        <v>30130.088089999997</v>
      </c>
      <c r="K28" s="4">
        <f t="shared" si="2"/>
        <v>3.013008809E-2</v>
      </c>
      <c r="L28" s="4">
        <f t="shared" si="3"/>
        <v>0.29736184922325276</v>
      </c>
      <c r="M28" s="4">
        <f t="shared" si="4"/>
        <v>225994.24410000001</v>
      </c>
    </row>
    <row r="29" spans="2:13" x14ac:dyDescent="0.35">
      <c r="B29" s="2">
        <v>35000</v>
      </c>
      <c r="C29" s="2">
        <v>10679</v>
      </c>
      <c r="D29" s="2">
        <v>7.06</v>
      </c>
      <c r="E29" s="2">
        <v>179.3</v>
      </c>
      <c r="F29" s="2">
        <v>3.47</v>
      </c>
      <c r="G29" s="2">
        <v>0.24399999999999999</v>
      </c>
      <c r="H29" s="2">
        <v>23.93</v>
      </c>
      <c r="I29" s="4">
        <f t="shared" si="0"/>
        <v>0.2392480679</v>
      </c>
      <c r="J29" s="4">
        <f t="shared" si="1"/>
        <v>23924.806789999999</v>
      </c>
      <c r="K29" s="4">
        <f t="shared" si="2"/>
        <v>2.3924806789999999E-2</v>
      </c>
      <c r="L29" s="4">
        <f t="shared" si="3"/>
        <v>0.23612027844500849</v>
      </c>
      <c r="M29" s="4">
        <f t="shared" si="4"/>
        <v>179450.80710000001</v>
      </c>
    </row>
    <row r="30" spans="2:13" x14ac:dyDescent="0.35">
      <c r="B30" s="2">
        <v>40000</v>
      </c>
      <c r="C30" s="2">
        <v>12204</v>
      </c>
      <c r="D30" s="2">
        <v>5.5579999999999998</v>
      </c>
      <c r="E30" s="2">
        <v>141.19999999999999</v>
      </c>
      <c r="F30" s="2">
        <v>2.73</v>
      </c>
      <c r="G30" s="2">
        <v>0.192</v>
      </c>
      <c r="H30" s="2">
        <v>18.82</v>
      </c>
      <c r="I30" s="4">
        <f t="shared" si="0"/>
        <v>0.1882268661</v>
      </c>
      <c r="J30" s="4">
        <f t="shared" si="1"/>
        <v>18822.686609999997</v>
      </c>
      <c r="K30" s="4">
        <f t="shared" si="2"/>
        <v>1.882268661E-2</v>
      </c>
      <c r="L30" s="4">
        <f t="shared" si="3"/>
        <v>0.18576609802734095</v>
      </c>
      <c r="M30" s="4">
        <f t="shared" si="4"/>
        <v>141181.75889999999</v>
      </c>
    </row>
    <row r="31" spans="2:13" x14ac:dyDescent="0.35">
      <c r="B31" s="2">
        <v>45000</v>
      </c>
      <c r="C31" s="2">
        <v>13730</v>
      </c>
      <c r="D31" s="2">
        <v>4.375</v>
      </c>
      <c r="E31" s="2">
        <v>111.1</v>
      </c>
      <c r="F31" s="2">
        <v>2.15</v>
      </c>
      <c r="G31" s="2">
        <v>0.151</v>
      </c>
      <c r="H31" s="2">
        <v>14.82</v>
      </c>
      <c r="I31" s="4">
        <f t="shared" si="0"/>
        <v>0.14823727549999999</v>
      </c>
      <c r="J31" s="4">
        <f t="shared" si="1"/>
        <v>14823.727549999998</v>
      </c>
      <c r="K31" s="4">
        <f t="shared" si="2"/>
        <v>1.4823727549999999E-2</v>
      </c>
      <c r="L31" s="4">
        <f t="shared" si="3"/>
        <v>0.1462993079702502</v>
      </c>
      <c r="M31" s="4">
        <f t="shared" si="4"/>
        <v>111187.0995</v>
      </c>
    </row>
    <row r="32" spans="2:13" x14ac:dyDescent="0.35">
      <c r="B32" s="2">
        <v>50000</v>
      </c>
      <c r="C32" s="2">
        <v>15255</v>
      </c>
      <c r="D32" s="2">
        <v>3.444</v>
      </c>
      <c r="E32" s="2">
        <v>87.5</v>
      </c>
      <c r="F32" s="2">
        <v>1.69</v>
      </c>
      <c r="G32" s="2">
        <v>0.11899999999999999</v>
      </c>
      <c r="H32" s="2">
        <v>11.65</v>
      </c>
      <c r="I32" s="4">
        <f t="shared" si="0"/>
        <v>0.1165213933</v>
      </c>
      <c r="J32" s="4">
        <f t="shared" si="1"/>
        <v>11652.139329999998</v>
      </c>
      <c r="K32" s="4">
        <f t="shared" si="2"/>
        <v>1.1652139329999998E-2</v>
      </c>
      <c r="L32" s="4">
        <f t="shared" si="3"/>
        <v>0.11499806068359202</v>
      </c>
      <c r="M32" s="4">
        <f t="shared" si="4"/>
        <v>87398.231700000004</v>
      </c>
    </row>
    <row r="33" spans="2:13" x14ac:dyDescent="0.35">
      <c r="B33" s="2">
        <v>55000</v>
      </c>
      <c r="C33" s="2">
        <v>16781</v>
      </c>
      <c r="D33" s="2">
        <v>2.7120000000000002</v>
      </c>
      <c r="E33" s="2">
        <v>68.900000000000006</v>
      </c>
      <c r="F33" s="2">
        <v>1.33</v>
      </c>
      <c r="G33" s="2">
        <v>9.4E-2</v>
      </c>
      <c r="H33" s="2">
        <v>9.17</v>
      </c>
      <c r="I33" s="4">
        <f t="shared" si="0"/>
        <v>9.170026810000001E-2</v>
      </c>
      <c r="J33" s="4">
        <f t="shared" si="1"/>
        <v>9170.0268099999994</v>
      </c>
      <c r="K33" s="4">
        <f t="shared" si="2"/>
        <v>9.1700268100000006E-3</v>
      </c>
      <c r="L33" s="4">
        <f t="shared" si="3"/>
        <v>9.0501432372294313E-2</v>
      </c>
      <c r="M33" s="4">
        <f t="shared" si="4"/>
        <v>68780.856899999999</v>
      </c>
    </row>
    <row r="34" spans="2:13" x14ac:dyDescent="0.35">
      <c r="B34" s="2">
        <v>60000</v>
      </c>
      <c r="C34" s="2">
        <v>18306</v>
      </c>
      <c r="D34" s="2">
        <v>2.1349999999999998</v>
      </c>
      <c r="E34" s="2">
        <v>54.2</v>
      </c>
      <c r="F34" s="2">
        <v>1.05</v>
      </c>
      <c r="G34" s="2">
        <v>7.3999999999999996E-2</v>
      </c>
      <c r="H34" s="2">
        <v>7.24</v>
      </c>
      <c r="I34" s="4">
        <f t="shared" si="0"/>
        <v>7.23949485E-2</v>
      </c>
      <c r="J34" s="4">
        <f t="shared" si="1"/>
        <v>7239.49485</v>
      </c>
      <c r="K34" s="4">
        <f t="shared" si="2"/>
        <v>7.23949485E-3</v>
      </c>
      <c r="L34" s="4">
        <f t="shared" si="3"/>
        <v>7.1448499241284991E-2</v>
      </c>
      <c r="M34" s="4">
        <f t="shared" si="4"/>
        <v>54300.676500000001</v>
      </c>
    </row>
    <row r="35" spans="2:13" x14ac:dyDescent="0.35">
      <c r="B35" s="2">
        <v>70000</v>
      </c>
      <c r="C35" s="2">
        <v>21357</v>
      </c>
      <c r="D35" s="2">
        <v>1.325</v>
      </c>
      <c r="E35" s="2">
        <v>33.700000000000003</v>
      </c>
      <c r="F35" s="2">
        <v>0.65</v>
      </c>
      <c r="G35" s="2">
        <v>4.5999999999999999E-2</v>
      </c>
      <c r="H35" s="2">
        <v>4.4800000000000004</v>
      </c>
      <c r="I35" s="4">
        <f t="shared" si="0"/>
        <v>4.4815920500000002E-2</v>
      </c>
      <c r="J35" s="4">
        <f t="shared" si="1"/>
        <v>4481.5920500000002</v>
      </c>
      <c r="K35" s="4">
        <f t="shared" si="2"/>
        <v>4.4815920500000002E-3</v>
      </c>
      <c r="L35" s="4">
        <f t="shared" si="3"/>
        <v>4.4230023339843084E-2</v>
      </c>
      <c r="M35" s="4">
        <f t="shared" si="4"/>
        <v>33614.7045</v>
      </c>
    </row>
    <row r="36" spans="2:13" x14ac:dyDescent="0.35">
      <c r="B36" s="2">
        <v>80000</v>
      </c>
      <c r="C36" s="2">
        <v>24408</v>
      </c>
      <c r="D36" s="2">
        <v>0.82730000000000004</v>
      </c>
      <c r="E36" s="2">
        <v>21</v>
      </c>
      <c r="F36" s="2">
        <v>0.41</v>
      </c>
      <c r="G36" s="2">
        <v>2.9000000000000001E-2</v>
      </c>
      <c r="H36" s="2">
        <v>2.83</v>
      </c>
      <c r="I36" s="4">
        <f t="shared" si="0"/>
        <v>2.8268503699999999E-2</v>
      </c>
      <c r="J36" s="4">
        <f t="shared" si="1"/>
        <v>2826.8503699999997</v>
      </c>
      <c r="K36" s="4">
        <f t="shared" si="2"/>
        <v>2.8268503699999995E-3</v>
      </c>
      <c r="L36" s="4">
        <f t="shared" si="3"/>
        <v>2.7898937798977945E-2</v>
      </c>
      <c r="M36" s="4">
        <f t="shared" si="4"/>
        <v>21203.121299999999</v>
      </c>
    </row>
    <row r="37" spans="2:13" x14ac:dyDescent="0.35">
      <c r="B37" s="2">
        <v>90000</v>
      </c>
      <c r="C37" s="2">
        <v>27459</v>
      </c>
      <c r="D37" s="2">
        <v>0.52</v>
      </c>
      <c r="E37" s="2">
        <v>13.2</v>
      </c>
      <c r="F37" s="2">
        <v>0.26</v>
      </c>
      <c r="G37" s="2">
        <v>1.7999999999999999E-2</v>
      </c>
      <c r="H37" s="2">
        <v>1.79</v>
      </c>
      <c r="I37" s="4">
        <f t="shared" si="0"/>
        <v>1.7926368200000001E-2</v>
      </c>
      <c r="J37" s="4">
        <f t="shared" si="1"/>
        <v>1792.6368199999999</v>
      </c>
      <c r="K37" s="4">
        <f t="shared" si="2"/>
        <v>1.79263682E-3</v>
      </c>
      <c r="L37" s="4">
        <f t="shared" si="3"/>
        <v>1.7692009335937234E-2</v>
      </c>
      <c r="M37" s="4">
        <f t="shared" si="4"/>
        <v>13445.881800000001</v>
      </c>
    </row>
    <row r="38" spans="2:13" x14ac:dyDescent="0.35">
      <c r="B38" s="2">
        <v>100000</v>
      </c>
      <c r="C38" s="2">
        <v>30510</v>
      </c>
      <c r="D38" s="2">
        <v>0.32900000000000001</v>
      </c>
      <c r="E38" s="2">
        <v>8.36</v>
      </c>
      <c r="F38" s="2">
        <v>0.16</v>
      </c>
      <c r="G38" s="2">
        <v>1.0999999999999999E-2</v>
      </c>
      <c r="H38" s="2">
        <v>1.1000000000000001</v>
      </c>
      <c r="I38" s="4">
        <f t="shared" si="0"/>
        <v>1.1031611199999999E-2</v>
      </c>
      <c r="J38" s="4">
        <f t="shared" si="1"/>
        <v>1103.16112</v>
      </c>
      <c r="K38" s="4">
        <f t="shared" si="2"/>
        <v>1.10316112E-3</v>
      </c>
      <c r="L38" s="4">
        <f t="shared" si="3"/>
        <v>1.088739036057676E-2</v>
      </c>
      <c r="M38" s="4">
        <f t="shared" si="4"/>
        <v>8274.3888000000006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k</dc:creator>
  <cp:lastModifiedBy>santhosh k</cp:lastModifiedBy>
  <dcterms:created xsi:type="dcterms:W3CDTF">2026-01-31T05:46:37Z</dcterms:created>
  <dcterms:modified xsi:type="dcterms:W3CDTF">2026-02-03T09:07:44Z</dcterms:modified>
</cp:coreProperties>
</file>